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tbrilhantes.sharepoint.com/sites/RAPNOVAESCOLA/Documentos Partilhados/RAP NOVA ESCOLA PT2030/6. Logos e Minutas/Minutas/minutas em branco/"/>
    </mc:Choice>
  </mc:AlternateContent>
  <xr:revisionPtr revIDLastSave="0" documentId="8_{575B2C21-7232-4F83-A1B1-23AD654B0850}" xr6:coauthVersionLast="47" xr6:coauthVersionMax="47" xr10:uidLastSave="{00000000-0000-0000-0000-000000000000}"/>
  <bookViews>
    <workbookView xWindow="28680" yWindow="-120" windowWidth="29040" windowHeight="17640" xr2:uid="{9EB73D08-5835-4EF9-B319-2FA194E80976}"/>
  </bookViews>
  <sheets>
    <sheet name="MODELO" sheetId="1" r:id="rId1"/>
  </sheets>
  <definedNames>
    <definedName name="_xlnm._FilterDatabase" localSheetId="0" hidden="1">MODELO!$W$14:$Y$25</definedName>
    <definedName name="_xlnm.Print_Area" localSheetId="0">MODELO!$A$1:$O$53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1" l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M43" i="1"/>
  <c r="M45" i="1"/>
  <c r="V14" i="1"/>
  <c r="Y14" i="1"/>
  <c r="V15" i="1"/>
  <c r="Y15" i="1"/>
  <c r="V16" i="1"/>
  <c r="Y16" i="1"/>
  <c r="V19" i="1"/>
  <c r="Y19" i="1"/>
  <c r="V20" i="1"/>
  <c r="Y20" i="1"/>
  <c r="V21" i="1"/>
  <c r="Y21" i="1"/>
  <c r="V23" i="1"/>
  <c r="Y23" i="1"/>
  <c r="V24" i="1"/>
  <c r="Y24" i="1"/>
  <c r="V25" i="1"/>
  <c r="Y25" i="1"/>
  <c r="V27" i="1"/>
  <c r="Y27" i="1"/>
  <c r="Y29" i="1"/>
  <c r="O14" i="1"/>
  <c r="O13" i="1"/>
  <c r="O12" i="1"/>
</calcChain>
</file>

<file path=xl/sharedStrings.xml><?xml version="1.0" encoding="utf-8"?>
<sst xmlns="http://schemas.openxmlformats.org/spreadsheetml/2006/main" count="86" uniqueCount="81">
  <si>
    <t>Meses</t>
  </si>
  <si>
    <t>Anos</t>
  </si>
  <si>
    <t>Cód. Aj. Custo</t>
  </si>
  <si>
    <t>Compensação por deslocação em viatura própria (kms)</t>
  </si>
  <si>
    <t>janeiro</t>
  </si>
  <si>
    <t>1.1</t>
  </si>
  <si>
    <t>fevereiro</t>
  </si>
  <si>
    <t>1.2</t>
  </si>
  <si>
    <t>Empresa:</t>
  </si>
  <si>
    <t>ASSOCIAÇÃO TEMPOS BRILHANTES</t>
  </si>
  <si>
    <t>março</t>
  </si>
  <si>
    <t>1.3</t>
  </si>
  <si>
    <t xml:space="preserve">Morada: </t>
  </si>
  <si>
    <t>Rua Direita de São Pedro, Ed. 142, Salas 5 e 6</t>
  </si>
  <si>
    <t>Mês:</t>
  </si>
  <si>
    <t>Ano:</t>
  </si>
  <si>
    <t>abril</t>
  </si>
  <si>
    <t>2.1</t>
  </si>
  <si>
    <t xml:space="preserve">Código Postal: </t>
  </si>
  <si>
    <t>2140-098 Chamusca</t>
  </si>
  <si>
    <t>junho</t>
  </si>
  <si>
    <t>maio</t>
  </si>
  <si>
    <t>2.2</t>
  </si>
  <si>
    <t xml:space="preserve">Nº de contribuinte: </t>
  </si>
  <si>
    <t>2.3</t>
  </si>
  <si>
    <t>julho</t>
  </si>
  <si>
    <t>2.4</t>
  </si>
  <si>
    <t>Dia</t>
  </si>
  <si>
    <t>Partida</t>
  </si>
  <si>
    <t>Regresso</t>
  </si>
  <si>
    <t>Motivo da deslocação</t>
  </si>
  <si>
    <t>Cliente/Projeto</t>
  </si>
  <si>
    <t>Nº de kms</t>
  </si>
  <si>
    <t xml:space="preserve">AJ. Custo </t>
  </si>
  <si>
    <t>agosto</t>
  </si>
  <si>
    <t>2.5</t>
  </si>
  <si>
    <t>RESUMO DE ESTADAS E DESLOCAÇÕES EM AUTOMÓVEL PRÓPRIO, EM SERVIÇO</t>
  </si>
  <si>
    <t>Local</t>
  </si>
  <si>
    <t>Hora</t>
  </si>
  <si>
    <t>Cod.</t>
  </si>
  <si>
    <t>%</t>
  </si>
  <si>
    <t>setembro</t>
  </si>
  <si>
    <t>2.9</t>
  </si>
  <si>
    <t>DESLOCAÇÕES</t>
  </si>
  <si>
    <t>% AC</t>
  </si>
  <si>
    <t>Nº</t>
  </si>
  <si>
    <t xml:space="preserve">V. UNIT. A C/ KM </t>
  </si>
  <si>
    <t>SUBTOTAL</t>
  </si>
  <si>
    <t>outubro</t>
  </si>
  <si>
    <t>No País</t>
  </si>
  <si>
    <t>Estrang.</t>
  </si>
  <si>
    <t>novembro</t>
  </si>
  <si>
    <t>1 - DIÁRIAS</t>
  </si>
  <si>
    <t>dezembro</t>
  </si>
  <si>
    <t xml:space="preserve">   1.1. - Entre as 13h e as 14h</t>
  </si>
  <si>
    <t xml:space="preserve">   1.2. - Entre as 13h e as 21h</t>
  </si>
  <si>
    <t xml:space="preserve">   1.3. - Alojamento</t>
  </si>
  <si>
    <t>2 - DIAS SUCESSIVOS</t>
  </si>
  <si>
    <t xml:space="preserve">   - DIA DA PARTIDA</t>
  </si>
  <si>
    <t xml:space="preserve">   2.1. - Até às 13h</t>
  </si>
  <si>
    <t xml:space="preserve">   2.2. - Depois das 13h às 21h</t>
  </si>
  <si>
    <t xml:space="preserve">   2.3. - Depois das 21h</t>
  </si>
  <si>
    <t xml:space="preserve">   - DIA DE REGRESSO</t>
  </si>
  <si>
    <t xml:space="preserve">   2.4. - Depois das 13h</t>
  </si>
  <si>
    <t xml:space="preserve">   2.5. - Depois das 20h</t>
  </si>
  <si>
    <t>2.9. - RESTANTES DIAS</t>
  </si>
  <si>
    <t>3 - OUTRAS DESP. (CF. ANEXOS)</t>
  </si>
  <si>
    <t>4 - KM. PERCORRIDOS</t>
  </si>
  <si>
    <t>0,30/km</t>
  </si>
  <si>
    <t>5 - SUBSÍDIO DE REFEIÇÃO DESCONTADO*</t>
  </si>
  <si>
    <t>TOTAL</t>
  </si>
  <si>
    <t xml:space="preserve">Total de kms: </t>
  </si>
  <si>
    <t xml:space="preserve">Valor por km: </t>
  </si>
  <si>
    <t xml:space="preserve">Valor a receber: </t>
  </si>
  <si>
    <t xml:space="preserve">Nome: </t>
  </si>
  <si>
    <t xml:space="preserve">Data: </t>
  </si>
  <si>
    <t xml:space="preserve">Matrícula da viatura: </t>
  </si>
  <si>
    <t xml:space="preserve">N.º Identificação Fiscal: </t>
  </si>
  <si>
    <t xml:space="preserve">Assinatura: </t>
  </si>
  <si>
    <t>Recebido por:</t>
  </si>
  <si>
    <t xml:space="preserve">Aprovado por: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</si>
</sst>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h:mm;@"/>
    <numFmt numFmtId="165" formatCode="#,##0.00_ ;[Red]\-#,##0.00\ "/>
    <numFmt numFmtId="166" formatCode="#,##0_ ;[Red]\-#,##0\ "/>
    <numFmt numFmtId="167" formatCode="#,##0.00\ &quot;€&quot;"/>
    <numFmt numFmtId="168" formatCode="dd\-mm\-yyyy;@"/>
  </numFmts>
  <fonts count="1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01">
    <xf numFmtId="0" fontId="0" fillId="0" borderId="0" xfId="0"/>
    <xf numFmtId="0" fontId="5" fillId="0" borderId="6" xfId="0" applyFont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1" fillId="3" borderId="9" xfId="0" applyFont="1" applyFill="1" applyBorder="1" applyAlignment="1" applyProtection="1">
      <alignment horizontal="center" vertical="center"/>
      <protection locked="0"/>
    </xf>
    <xf numFmtId="164" fontId="1" fillId="3" borderId="6" xfId="0" applyNumberFormat="1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center" vertical="center" wrapText="1"/>
      <protection locked="0"/>
    </xf>
    <xf numFmtId="0" fontId="1" fillId="3" borderId="9" xfId="0" applyFont="1" applyFill="1" applyBorder="1" applyAlignment="1" applyProtection="1">
      <alignment horizontal="center" vertical="center" wrapText="1"/>
      <protection locked="0"/>
    </xf>
    <xf numFmtId="3" fontId="1" fillId="3" borderId="8" xfId="0" applyNumberFormat="1" applyFont="1" applyFill="1" applyBorder="1" applyAlignment="1" applyProtection="1">
      <alignment horizontal="center" vertical="center"/>
      <protection locked="0"/>
    </xf>
    <xf numFmtId="3" fontId="1" fillId="3" borderId="6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" fillId="0" borderId="0" xfId="0" quotePrefix="1" applyFont="1" applyAlignment="1">
      <alignment horizontal="left" vertical="center"/>
    </xf>
    <xf numFmtId="0" fontId="1" fillId="0" borderId="0" xfId="0" quotePrefix="1" applyFont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3" fontId="1" fillId="3" borderId="16" xfId="0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/>
    </xf>
    <xf numFmtId="0" fontId="8" fillId="0" borderId="6" xfId="1" applyFont="1" applyBorder="1" applyAlignment="1">
      <alignment horizontal="center" vertical="center"/>
    </xf>
    <xf numFmtId="165" fontId="8" fillId="0" borderId="15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left" vertical="center"/>
    </xf>
    <xf numFmtId="4" fontId="8" fillId="0" borderId="6" xfId="1" applyNumberFormat="1" applyFont="1" applyBorder="1" applyAlignment="1">
      <alignment horizontal="center" vertical="center"/>
    </xf>
    <xf numFmtId="4" fontId="8" fillId="0" borderId="15" xfId="1" applyNumberFormat="1" applyFont="1" applyBorder="1" applyAlignment="1">
      <alignment horizontal="center" vertical="center"/>
    </xf>
    <xf numFmtId="166" fontId="7" fillId="0" borderId="6" xfId="1" applyNumberFormat="1" applyFont="1" applyBorder="1" applyAlignment="1">
      <alignment horizontal="center" vertical="center"/>
    </xf>
    <xf numFmtId="165" fontId="7" fillId="0" borderId="15" xfId="1" applyNumberFormat="1" applyFont="1" applyBorder="1" applyAlignment="1">
      <alignment horizontal="center" vertical="center"/>
    </xf>
    <xf numFmtId="165" fontId="7" fillId="0" borderId="19" xfId="1" applyNumberFormat="1" applyFont="1" applyBorder="1" applyAlignment="1">
      <alignment horizontal="center" vertical="center"/>
    </xf>
    <xf numFmtId="167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0" fontId="4" fillId="2" borderId="22" xfId="0" applyFont="1" applyFill="1" applyBorder="1" applyAlignment="1">
      <alignment horizontal="right" vertical="center"/>
    </xf>
    <xf numFmtId="3" fontId="4" fillId="2" borderId="6" xfId="0" applyNumberFormat="1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1" fillId="2" borderId="2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4" fillId="2" borderId="24" xfId="0" applyFont="1" applyFill="1" applyBorder="1" applyAlignment="1">
      <alignment horizontal="right" vertical="center"/>
    </xf>
    <xf numFmtId="167" fontId="4" fillId="2" borderId="6" xfId="0" applyNumberFormat="1" applyFont="1" applyFill="1" applyBorder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0" fontId="1" fillId="2" borderId="25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vertical="center"/>
    </xf>
    <xf numFmtId="0" fontId="4" fillId="2" borderId="26" xfId="0" applyFont="1" applyFill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168" fontId="9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0" fillId="0" borderId="28" xfId="0" applyBorder="1"/>
    <xf numFmtId="0" fontId="1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4" fillId="0" borderId="7" xfId="0" applyFont="1" applyBorder="1" applyAlignment="1" applyProtection="1">
      <alignment horizontal="right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>
      <alignment horizontal="center" vertical="center"/>
    </xf>
    <xf numFmtId="0" fontId="5" fillId="0" borderId="8" xfId="0" quotePrefix="1" applyFont="1" applyBorder="1" applyAlignment="1" applyProtection="1">
      <alignment horizontal="center" vertical="center"/>
      <protection locked="0"/>
    </xf>
    <xf numFmtId="0" fontId="5" fillId="0" borderId="9" xfId="0" quotePrefix="1" applyFont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1" fillId="3" borderId="9" xfId="0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center" vertical="center" wrapText="1"/>
      <protection locked="0"/>
    </xf>
    <xf numFmtId="0" fontId="1" fillId="3" borderId="9" xfId="0" applyFont="1" applyFill="1" applyBorder="1" applyAlignment="1" applyProtection="1">
      <alignment horizontal="center" vertical="center" wrapText="1"/>
      <protection locked="0"/>
    </xf>
    <xf numFmtId="0" fontId="7" fillId="0" borderId="17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9" fillId="0" borderId="6" xfId="0" applyFont="1" applyBorder="1" applyAlignment="1" applyProtection="1">
      <alignment horizontal="left" vertical="center" indent="1"/>
      <protection locked="0"/>
    </xf>
    <xf numFmtId="3" fontId="9" fillId="0" borderId="6" xfId="0" applyNumberFormat="1" applyFont="1" applyBorder="1" applyAlignment="1" applyProtection="1">
      <alignment horizontal="left" vertical="center" indent="1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/>
      <protection locked="0"/>
    </xf>
    <xf numFmtId="168" fontId="9" fillId="0" borderId="6" xfId="0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1F1E33F8-A283-45A5-8357-D0E9466E9C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0</xdr:row>
      <xdr:rowOff>161930</xdr:rowOff>
    </xdr:from>
    <xdr:to>
      <xdr:col>4</xdr:col>
      <xdr:colOff>476860</xdr:colOff>
      <xdr:row>1</xdr:row>
      <xdr:rowOff>227816</xdr:rowOff>
    </xdr:to>
    <xdr:pic>
      <xdr:nvPicPr>
        <xdr:cNvPr id="2" name="Imagem 3" descr="Logo_ATB_horizontal">
          <a:extLst>
            <a:ext uri="{FF2B5EF4-FFF2-40B4-BE49-F238E27FC236}">
              <a16:creationId xmlns:a16="http://schemas.microsoft.com/office/drawing/2014/main" id="{56A9C6AC-FF78-4C39-B1D0-9305A85D1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" y="163835"/>
          <a:ext cx="2296135" cy="825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365544</xdr:colOff>
      <xdr:row>50</xdr:row>
      <xdr:rowOff>204811</xdr:rowOff>
    </xdr:from>
    <xdr:to>
      <xdr:col>12</xdr:col>
      <xdr:colOff>695109</xdr:colOff>
      <xdr:row>52</xdr:row>
      <xdr:rowOff>235111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47C7C9C-1680-43BB-9022-5E7D2D436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3357" y="15589757"/>
          <a:ext cx="329565" cy="5272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222073</xdr:rowOff>
    </xdr:from>
    <xdr:to>
      <xdr:col>12</xdr:col>
      <xdr:colOff>537468</xdr:colOff>
      <xdr:row>52</xdr:row>
      <xdr:rowOff>938492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5C93AF9-CDE2-9315-DA5E-F127A6AA9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55497"/>
          <a:ext cx="9705281" cy="96489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6576D-5592-43DD-B4F3-90AACD921C07}">
  <sheetPr>
    <tabColor rgb="FFFFFF00"/>
    <pageSetUpPr fitToPage="1"/>
  </sheetPr>
  <dimension ref="A1:Y61"/>
  <sheetViews>
    <sheetView showGridLines="0" tabSelected="1" topLeftCell="A39" zoomScale="59" zoomScaleNormal="59" workbookViewId="0">
      <selection activeCell="D49" sqref="D49:I49"/>
    </sheetView>
  </sheetViews>
  <sheetFormatPr defaultColWidth="9.140625" defaultRowHeight="12.75"/>
  <cols>
    <col min="1" max="1" width="1.5703125" style="13" customWidth="1"/>
    <col min="2" max="2" width="6.42578125" style="16" customWidth="1"/>
    <col min="3" max="4" width="11.5703125" style="16" customWidth="1"/>
    <col min="5" max="5" width="10.140625" style="16" customWidth="1"/>
    <col min="6" max="6" width="11.5703125" style="16" customWidth="1"/>
    <col min="7" max="7" width="10.5703125" style="16" customWidth="1"/>
    <col min="8" max="8" width="10.42578125" style="16" customWidth="1"/>
    <col min="9" max="11" width="15.5703125" style="16" customWidth="1"/>
    <col min="12" max="12" width="16.85546875" style="16" customWidth="1"/>
    <col min="13" max="13" width="10.85546875" style="16" customWidth="1"/>
    <col min="14" max="14" width="5.42578125" style="17" customWidth="1"/>
    <col min="15" max="15" width="5.85546875" style="14" customWidth="1"/>
    <col min="16" max="16" width="6" style="13" customWidth="1"/>
    <col min="17" max="17" width="12.140625" style="14" hidden="1" customWidth="1"/>
    <col min="18" max="18" width="5.140625" style="14" hidden="1" customWidth="1"/>
    <col min="19" max="19" width="13" style="14" hidden="1" customWidth="1"/>
    <col min="20" max="20" width="34.85546875" style="13" customWidth="1"/>
    <col min="21" max="16384" width="9.140625" style="13"/>
  </cols>
  <sheetData>
    <row r="1" spans="1:25" ht="60" customHeight="1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/>
      <c r="O1" s="12"/>
    </row>
    <row r="2" spans="1:25" ht="33.75" customHeight="1">
      <c r="A2" s="15"/>
      <c r="O2" s="18"/>
      <c r="Q2" s="19" t="s">
        <v>0</v>
      </c>
      <c r="R2" s="19" t="s">
        <v>1</v>
      </c>
      <c r="S2" s="19" t="s">
        <v>2</v>
      </c>
    </row>
    <row r="3" spans="1:25" ht="20.100000000000001" customHeight="1">
      <c r="A3" s="15"/>
      <c r="B3" s="75" t="s">
        <v>3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Q3" s="19" t="s">
        <v>4</v>
      </c>
      <c r="R3" s="14">
        <v>2021</v>
      </c>
      <c r="S3" s="19" t="s">
        <v>5</v>
      </c>
    </row>
    <row r="4" spans="1:25" ht="20.100000000000001" customHeight="1">
      <c r="A4" s="15"/>
      <c r="O4" s="18"/>
      <c r="Q4" s="19" t="s">
        <v>6</v>
      </c>
      <c r="R4" s="14">
        <v>2022</v>
      </c>
      <c r="S4" s="19" t="s">
        <v>7</v>
      </c>
    </row>
    <row r="5" spans="1:25" ht="20.100000000000001" customHeight="1">
      <c r="A5" s="15"/>
      <c r="C5" s="20" t="s">
        <v>8</v>
      </c>
      <c r="D5" s="21" t="s">
        <v>9</v>
      </c>
      <c r="E5" s="21"/>
      <c r="F5" s="13"/>
      <c r="G5" s="13"/>
      <c r="H5" s="13"/>
      <c r="I5" s="22"/>
      <c r="J5" s="22"/>
      <c r="O5" s="18"/>
      <c r="Q5" s="19" t="s">
        <v>10</v>
      </c>
      <c r="R5" s="14">
        <v>2023</v>
      </c>
      <c r="S5" s="19" t="s">
        <v>11</v>
      </c>
    </row>
    <row r="6" spans="1:25" ht="20.100000000000001" customHeight="1">
      <c r="A6" s="15"/>
      <c r="C6" s="20" t="s">
        <v>12</v>
      </c>
      <c r="D6" s="21" t="s">
        <v>13</v>
      </c>
      <c r="E6" s="21"/>
      <c r="F6" s="13"/>
      <c r="G6" s="13"/>
      <c r="H6" s="13"/>
      <c r="I6" s="22"/>
      <c r="J6" s="22"/>
      <c r="K6" s="23" t="s">
        <v>14</v>
      </c>
      <c r="L6" s="13"/>
      <c r="M6" s="24" t="s">
        <v>15</v>
      </c>
      <c r="N6" s="14"/>
      <c r="O6" s="18"/>
      <c r="Q6" s="19" t="s">
        <v>16</v>
      </c>
      <c r="R6" s="14">
        <v>2024</v>
      </c>
      <c r="S6" s="19" t="s">
        <v>17</v>
      </c>
    </row>
    <row r="7" spans="1:25" ht="20.100000000000001" customHeight="1">
      <c r="A7" s="15"/>
      <c r="C7" s="20" t="s">
        <v>18</v>
      </c>
      <c r="D7" s="21" t="s">
        <v>19</v>
      </c>
      <c r="E7" s="21"/>
      <c r="F7" s="13"/>
      <c r="G7" s="13"/>
      <c r="H7" s="13"/>
      <c r="I7" s="22"/>
      <c r="J7" s="22"/>
      <c r="K7" s="76" t="s">
        <v>20</v>
      </c>
      <c r="L7" s="77"/>
      <c r="M7" s="1">
        <v>2026</v>
      </c>
      <c r="N7" s="25"/>
      <c r="O7" s="18"/>
      <c r="Q7" s="19" t="s">
        <v>21</v>
      </c>
      <c r="R7" s="14">
        <v>2025</v>
      </c>
      <c r="S7" s="19" t="s">
        <v>22</v>
      </c>
    </row>
    <row r="8" spans="1:25" ht="20.100000000000001" customHeight="1">
      <c r="A8" s="15"/>
      <c r="C8" s="20" t="s">
        <v>23</v>
      </c>
      <c r="D8" s="26">
        <v>510815669</v>
      </c>
      <c r="E8" s="26"/>
      <c r="F8" s="13"/>
      <c r="G8" s="13"/>
      <c r="H8" s="13"/>
      <c r="K8" s="26"/>
      <c r="O8" s="18"/>
      <c r="Q8" s="19" t="s">
        <v>20</v>
      </c>
      <c r="R8" s="14">
        <v>2026</v>
      </c>
      <c r="S8" s="19" t="s">
        <v>24</v>
      </c>
    </row>
    <row r="9" spans="1:25" ht="20.100000000000001" customHeight="1" thickBot="1">
      <c r="A9" s="15"/>
      <c r="C9" s="20"/>
      <c r="D9" s="26"/>
      <c r="E9" s="26"/>
      <c r="F9" s="13"/>
      <c r="G9" s="13"/>
      <c r="H9" s="13"/>
      <c r="K9" s="26"/>
      <c r="O9" s="18"/>
      <c r="Q9" s="19" t="s">
        <v>25</v>
      </c>
      <c r="R9" s="14">
        <v>2027</v>
      </c>
      <c r="S9" s="19" t="s">
        <v>26</v>
      </c>
    </row>
    <row r="10" spans="1:25" ht="20.100000000000001" customHeight="1" thickTop="1">
      <c r="A10" s="15"/>
      <c r="B10" s="78" t="s">
        <v>27</v>
      </c>
      <c r="C10" s="79" t="s">
        <v>28</v>
      </c>
      <c r="D10" s="80"/>
      <c r="E10" s="81"/>
      <c r="F10" s="79" t="s">
        <v>29</v>
      </c>
      <c r="G10" s="80"/>
      <c r="H10" s="81"/>
      <c r="I10" s="78" t="s">
        <v>30</v>
      </c>
      <c r="J10" s="78"/>
      <c r="K10" s="78" t="s">
        <v>31</v>
      </c>
      <c r="L10" s="78"/>
      <c r="M10" s="78" t="s">
        <v>32</v>
      </c>
      <c r="N10" s="79" t="s">
        <v>33</v>
      </c>
      <c r="O10" s="81"/>
      <c r="Q10" s="19" t="s">
        <v>34</v>
      </c>
      <c r="R10" s="14">
        <v>2028</v>
      </c>
      <c r="S10" s="19" t="s">
        <v>35</v>
      </c>
      <c r="T10" s="82" t="s">
        <v>36</v>
      </c>
      <c r="U10" s="83"/>
      <c r="V10" s="83"/>
      <c r="W10" s="83"/>
      <c r="X10" s="83"/>
      <c r="Y10" s="84"/>
    </row>
    <row r="11" spans="1:25" ht="20.100000000000001" customHeight="1">
      <c r="A11" s="15"/>
      <c r="B11" s="78"/>
      <c r="C11" s="80" t="s">
        <v>37</v>
      </c>
      <c r="D11" s="81"/>
      <c r="E11" s="27" t="s">
        <v>38</v>
      </c>
      <c r="F11" s="79" t="s">
        <v>37</v>
      </c>
      <c r="G11" s="81"/>
      <c r="H11" s="28" t="s">
        <v>38</v>
      </c>
      <c r="I11" s="78"/>
      <c r="J11" s="78"/>
      <c r="K11" s="78"/>
      <c r="L11" s="78"/>
      <c r="M11" s="78"/>
      <c r="N11" s="27" t="s">
        <v>39</v>
      </c>
      <c r="O11" s="27" t="s">
        <v>40</v>
      </c>
      <c r="Q11" s="19" t="s">
        <v>41</v>
      </c>
      <c r="R11" s="14">
        <v>2029</v>
      </c>
      <c r="S11" s="19" t="s">
        <v>42</v>
      </c>
      <c r="T11" s="85" t="s">
        <v>43</v>
      </c>
      <c r="U11" s="86" t="s">
        <v>44</v>
      </c>
      <c r="V11" s="86" t="s">
        <v>45</v>
      </c>
      <c r="W11" s="87" t="s">
        <v>46</v>
      </c>
      <c r="X11" s="88"/>
      <c r="Y11" s="89" t="s">
        <v>47</v>
      </c>
    </row>
    <row r="12" spans="1:25" ht="24.95" customHeight="1">
      <c r="A12" s="15"/>
      <c r="B12" s="74">
        <v>20</v>
      </c>
      <c r="C12" s="90"/>
      <c r="D12" s="91"/>
      <c r="E12" s="4"/>
      <c r="F12" s="90"/>
      <c r="G12" s="91"/>
      <c r="H12" s="4"/>
      <c r="I12" s="90"/>
      <c r="J12" s="91"/>
      <c r="K12" s="92"/>
      <c r="L12" s="93"/>
      <c r="M12" s="7"/>
      <c r="N12" s="8"/>
      <c r="O12" s="30" t="str">
        <f>+IF(N12="1.1",$U$14,IF(N12="1.2",$U$15,IF(N12="1.3",$U$16,IF(N12="2.1",$U$19,IF(N12="2.2",$U$20,IF(N12="2.3",$U$21,IF(N12="2.4",$U$23,IF(N12="2.5",$U$24,IF(N12="2.9",$U$25,"")))))))))</f>
        <v/>
      </c>
      <c r="Q12" s="19" t="s">
        <v>48</v>
      </c>
      <c r="R12" s="14">
        <v>2030</v>
      </c>
      <c r="T12" s="85"/>
      <c r="U12" s="86"/>
      <c r="V12" s="86"/>
      <c r="W12" s="29" t="s">
        <v>49</v>
      </c>
      <c r="X12" s="29" t="s">
        <v>50</v>
      </c>
      <c r="Y12" s="89"/>
    </row>
    <row r="13" spans="1:25" ht="24.95" customHeight="1">
      <c r="A13" s="15"/>
      <c r="B13" s="74">
        <v>21</v>
      </c>
      <c r="C13" s="90"/>
      <c r="D13" s="91"/>
      <c r="E13" s="4"/>
      <c r="F13" s="90"/>
      <c r="G13" s="91"/>
      <c r="H13" s="4"/>
      <c r="I13" s="90"/>
      <c r="J13" s="91"/>
      <c r="K13" s="92"/>
      <c r="L13" s="93"/>
      <c r="M13" s="7"/>
      <c r="N13" s="8"/>
      <c r="O13" s="30" t="str">
        <f>+IF(N13="1.1",$U$14,IF(N13="1.2",$U$15,IF(N13="1.3",$U$16,IF(N13="2.1",$U$19,IF(N13="2.2",$U$20,IF(N13="2.3",$U$21,IF(N13="2.4",$U$23,IF(N13="2.5",$U$24,IF(N13="2.9",$U$25,"")))))))))</f>
        <v/>
      </c>
      <c r="Q13" s="19" t="s">
        <v>51</v>
      </c>
      <c r="R13" s="14">
        <v>2031</v>
      </c>
      <c r="T13" s="31" t="s">
        <v>52</v>
      </c>
      <c r="U13" s="32"/>
      <c r="V13" s="32"/>
      <c r="W13" s="32"/>
      <c r="X13" s="32"/>
      <c r="Y13" s="33"/>
    </row>
    <row r="14" spans="1:25" ht="27.75" customHeight="1">
      <c r="A14" s="15"/>
      <c r="B14" s="74">
        <v>22</v>
      </c>
      <c r="C14" s="90"/>
      <c r="D14" s="91"/>
      <c r="E14" s="4"/>
      <c r="F14" s="90"/>
      <c r="G14" s="91"/>
      <c r="H14" s="4"/>
      <c r="I14" s="90"/>
      <c r="J14" s="91"/>
      <c r="K14" s="92"/>
      <c r="L14" s="93"/>
      <c r="M14" s="7"/>
      <c r="N14" s="8"/>
      <c r="O14" s="30" t="str">
        <f>+IF(N14="1.1",$U$14,IF(N14="1.2",$U$15,IF(N14="1.3",$U$16,IF(N14="2.1",$U$19,IF(N14="2.2",$U$20,IF(N14="2.3",$U$21,IF(N14="2.4",$U$23,IF(N14="2.5",$U$24,IF(N14="2.9",$U$25,"")))))))))</f>
        <v/>
      </c>
      <c r="Q14" s="19" t="s">
        <v>53</v>
      </c>
      <c r="R14" s="14">
        <v>2032</v>
      </c>
      <c r="T14" s="34" t="s">
        <v>54</v>
      </c>
      <c r="U14" s="32">
        <v>25</v>
      </c>
      <c r="V14" s="32">
        <f>COUNTIF(N12:N42,"1.1")</f>
        <v>0</v>
      </c>
      <c r="W14" s="35">
        <v>17.3</v>
      </c>
      <c r="X14" s="35">
        <v>25.06</v>
      </c>
      <c r="Y14" s="36">
        <f>+V14*W14</f>
        <v>0</v>
      </c>
    </row>
    <row r="15" spans="1:25" ht="24.95" customHeight="1">
      <c r="A15" s="15"/>
      <c r="B15" s="74">
        <v>23</v>
      </c>
      <c r="C15" s="2"/>
      <c r="D15" s="3"/>
      <c r="E15" s="4"/>
      <c r="F15" s="2"/>
      <c r="G15" s="3"/>
      <c r="H15" s="4"/>
      <c r="I15" s="2"/>
      <c r="J15" s="3"/>
      <c r="K15" s="5"/>
      <c r="L15" s="6"/>
      <c r="M15" s="7"/>
      <c r="N15" s="8"/>
      <c r="O15" s="30" t="str">
        <f t="shared" ref="O15:O42" si="0">+IF(N15="1.1",$U$14,IF(N15="1.2",$U$15,IF(N15="1.3",$U$16,IF(N15="2.1",$U$19,IF(N15="2.2",$U$20,IF(N15="2.3",$U$21,IF(N15="2.4",$U$23,IF(N15="2.5",$U$24,IF(N15="2.9",$U$25,"")))))))))</f>
        <v/>
      </c>
      <c r="T15" s="34" t="s">
        <v>55</v>
      </c>
      <c r="U15" s="32">
        <v>50</v>
      </c>
      <c r="V15" s="32">
        <f>COUNTIF(N12:N42,"1.2")</f>
        <v>0</v>
      </c>
      <c r="W15" s="35">
        <v>34.6</v>
      </c>
      <c r="X15" s="35">
        <v>50.12</v>
      </c>
      <c r="Y15" s="36">
        <f>+V15*W15</f>
        <v>0</v>
      </c>
    </row>
    <row r="16" spans="1:25" ht="27" customHeight="1">
      <c r="A16" s="15"/>
      <c r="B16" s="74">
        <v>24</v>
      </c>
      <c r="C16" s="90"/>
      <c r="D16" s="91"/>
      <c r="E16" s="4"/>
      <c r="F16" s="90"/>
      <c r="G16" s="91"/>
      <c r="H16" s="4"/>
      <c r="I16" s="90"/>
      <c r="J16" s="91"/>
      <c r="K16" s="92"/>
      <c r="L16" s="93"/>
      <c r="M16" s="7"/>
      <c r="N16" s="8"/>
      <c r="O16" s="30" t="str">
        <f t="shared" si="0"/>
        <v/>
      </c>
      <c r="T16" s="34" t="s">
        <v>56</v>
      </c>
      <c r="U16" s="32">
        <v>50</v>
      </c>
      <c r="V16" s="32">
        <f>COUNTIF(N12:N42,"1.3")</f>
        <v>0</v>
      </c>
      <c r="W16" s="35">
        <v>34.6</v>
      </c>
      <c r="X16" s="35">
        <v>50.12</v>
      </c>
      <c r="Y16" s="36">
        <f>+V16*W16</f>
        <v>0</v>
      </c>
    </row>
    <row r="17" spans="1:25" ht="24.95" customHeight="1">
      <c r="A17" s="15"/>
      <c r="B17" s="74">
        <v>25</v>
      </c>
      <c r="C17" s="90"/>
      <c r="D17" s="91"/>
      <c r="E17" s="4"/>
      <c r="F17" s="90"/>
      <c r="G17" s="91"/>
      <c r="H17" s="4"/>
      <c r="I17" s="90"/>
      <c r="J17" s="91"/>
      <c r="K17" s="92"/>
      <c r="L17" s="93"/>
      <c r="M17" s="7"/>
      <c r="N17" s="8"/>
      <c r="O17" s="30" t="str">
        <f t="shared" si="0"/>
        <v/>
      </c>
      <c r="T17" s="31" t="s">
        <v>57</v>
      </c>
      <c r="U17" s="32"/>
      <c r="V17" s="32"/>
      <c r="W17" s="35"/>
      <c r="X17" s="35"/>
      <c r="Y17" s="36"/>
    </row>
    <row r="18" spans="1:25" ht="24.95" customHeight="1">
      <c r="A18" s="15"/>
      <c r="B18" s="74">
        <v>26</v>
      </c>
      <c r="C18" s="90"/>
      <c r="D18" s="91"/>
      <c r="E18" s="4"/>
      <c r="F18" s="90"/>
      <c r="G18" s="91"/>
      <c r="H18" s="4"/>
      <c r="I18" s="90"/>
      <c r="J18" s="91"/>
      <c r="K18" s="92"/>
      <c r="L18" s="93"/>
      <c r="M18" s="7"/>
      <c r="N18" s="8"/>
      <c r="O18" s="30" t="str">
        <f t="shared" si="0"/>
        <v/>
      </c>
      <c r="T18" s="34" t="s">
        <v>58</v>
      </c>
      <c r="U18" s="32"/>
      <c r="V18" s="32"/>
      <c r="W18" s="35"/>
      <c r="X18" s="35"/>
      <c r="Y18" s="36"/>
    </row>
    <row r="19" spans="1:25" ht="24.95" customHeight="1">
      <c r="A19" s="15"/>
      <c r="B19" s="74">
        <v>27</v>
      </c>
      <c r="C19" s="90"/>
      <c r="D19" s="91"/>
      <c r="E19" s="4"/>
      <c r="F19" s="90"/>
      <c r="G19" s="91"/>
      <c r="H19" s="4"/>
      <c r="I19" s="90"/>
      <c r="J19" s="91"/>
      <c r="K19" s="92"/>
      <c r="L19" s="93"/>
      <c r="M19" s="7"/>
      <c r="N19" s="8"/>
      <c r="O19" s="30" t="str">
        <f t="shared" si="0"/>
        <v/>
      </c>
      <c r="T19" s="34" t="s">
        <v>59</v>
      </c>
      <c r="U19" s="32">
        <v>100</v>
      </c>
      <c r="V19" s="32">
        <f>COUNTIF(N12:N42,"2.1")</f>
        <v>0</v>
      </c>
      <c r="W19" s="35">
        <v>69.19</v>
      </c>
      <c r="X19" s="35">
        <v>100.24</v>
      </c>
      <c r="Y19" s="36">
        <f>+V19*W19</f>
        <v>0</v>
      </c>
    </row>
    <row r="20" spans="1:25" ht="25.35" customHeight="1">
      <c r="A20" s="15"/>
      <c r="B20" s="74">
        <v>28</v>
      </c>
      <c r="C20" s="90"/>
      <c r="D20" s="91"/>
      <c r="E20" s="4"/>
      <c r="F20" s="90"/>
      <c r="G20" s="91"/>
      <c r="H20" s="4"/>
      <c r="I20" s="90"/>
      <c r="J20" s="91"/>
      <c r="K20" s="92"/>
      <c r="L20" s="93"/>
      <c r="M20" s="7"/>
      <c r="N20" s="8"/>
      <c r="O20" s="30" t="str">
        <f t="shared" si="0"/>
        <v/>
      </c>
      <c r="T20" s="34" t="s">
        <v>60</v>
      </c>
      <c r="U20" s="32">
        <v>75</v>
      </c>
      <c r="V20" s="32">
        <f>COUNTIF(N12:N42,"2.2")</f>
        <v>0</v>
      </c>
      <c r="W20" s="35">
        <v>51.89</v>
      </c>
      <c r="X20" s="35">
        <v>75.180000000000007</v>
      </c>
      <c r="Y20" s="36">
        <f>+V20*W20</f>
        <v>0</v>
      </c>
    </row>
    <row r="21" spans="1:25" ht="24.95" customHeight="1">
      <c r="A21" s="15"/>
      <c r="B21" s="74">
        <v>29</v>
      </c>
      <c r="C21" s="90"/>
      <c r="D21" s="91"/>
      <c r="E21" s="4"/>
      <c r="F21" s="90"/>
      <c r="G21" s="91"/>
      <c r="H21" s="4"/>
      <c r="I21" s="90"/>
      <c r="J21" s="91"/>
      <c r="K21" s="92"/>
      <c r="L21" s="93"/>
      <c r="M21" s="7"/>
      <c r="N21" s="8"/>
      <c r="O21" s="30" t="str">
        <f t="shared" si="0"/>
        <v/>
      </c>
      <c r="T21" s="34" t="s">
        <v>61</v>
      </c>
      <c r="U21" s="32">
        <v>50</v>
      </c>
      <c r="V21" s="32">
        <f>COUNTIF(N12:N42,"2.3")</f>
        <v>0</v>
      </c>
      <c r="W21" s="35">
        <v>34.6</v>
      </c>
      <c r="X21" s="35">
        <v>50.12</v>
      </c>
      <c r="Y21" s="36">
        <f>+V21*W21</f>
        <v>0</v>
      </c>
    </row>
    <row r="22" spans="1:25" ht="22.35" customHeight="1">
      <c r="A22" s="15"/>
      <c r="B22" s="74">
        <v>30</v>
      </c>
      <c r="C22" s="90"/>
      <c r="D22" s="91"/>
      <c r="E22" s="4"/>
      <c r="F22" s="90"/>
      <c r="G22" s="91"/>
      <c r="H22" s="4"/>
      <c r="I22" s="90"/>
      <c r="J22" s="91"/>
      <c r="K22" s="92"/>
      <c r="L22" s="93"/>
      <c r="M22" s="7"/>
      <c r="N22" s="8"/>
      <c r="O22" s="30" t="str">
        <f t="shared" si="0"/>
        <v/>
      </c>
      <c r="T22" s="34" t="s">
        <v>62</v>
      </c>
      <c r="U22" s="32"/>
      <c r="V22" s="32"/>
      <c r="W22" s="35"/>
      <c r="X22" s="35"/>
      <c r="Y22" s="36"/>
    </row>
    <row r="23" spans="1:25" ht="24.95" customHeight="1">
      <c r="A23" s="15"/>
      <c r="B23" s="74">
        <v>31</v>
      </c>
      <c r="C23" s="90"/>
      <c r="D23" s="91"/>
      <c r="E23" s="4"/>
      <c r="F23" s="90"/>
      <c r="G23" s="91"/>
      <c r="H23" s="4"/>
      <c r="I23" s="90"/>
      <c r="J23" s="91"/>
      <c r="K23" s="92"/>
      <c r="L23" s="93"/>
      <c r="M23" s="7"/>
      <c r="N23" s="8"/>
      <c r="O23" s="30" t="str">
        <f t="shared" si="0"/>
        <v/>
      </c>
      <c r="T23" s="34" t="s">
        <v>63</v>
      </c>
      <c r="U23" s="32">
        <v>25</v>
      </c>
      <c r="V23" s="32">
        <f>COUNTIF(N12:N42,"2.4")</f>
        <v>0</v>
      </c>
      <c r="W23" s="35">
        <v>17.3</v>
      </c>
      <c r="X23" s="35">
        <v>25.06</v>
      </c>
      <c r="Y23" s="36">
        <f>+V23*W23</f>
        <v>0</v>
      </c>
    </row>
    <row r="24" spans="1:25" ht="28.5" customHeight="1">
      <c r="A24" s="15"/>
      <c r="B24" s="74">
        <v>1</v>
      </c>
      <c r="C24" s="90"/>
      <c r="D24" s="91"/>
      <c r="E24" s="4"/>
      <c r="F24" s="90"/>
      <c r="G24" s="91"/>
      <c r="H24" s="4"/>
      <c r="I24" s="90"/>
      <c r="J24" s="91"/>
      <c r="K24" s="92"/>
      <c r="L24" s="93"/>
      <c r="M24" s="7"/>
      <c r="N24" s="8"/>
      <c r="O24" s="30" t="str">
        <f t="shared" si="0"/>
        <v/>
      </c>
      <c r="T24" s="34" t="s">
        <v>64</v>
      </c>
      <c r="U24" s="32">
        <v>50</v>
      </c>
      <c r="V24" s="32">
        <f>COUNTIF(N12:N42,"2.5")</f>
        <v>0</v>
      </c>
      <c r="W24" s="35">
        <v>34.6</v>
      </c>
      <c r="X24" s="35">
        <v>50.12</v>
      </c>
      <c r="Y24" s="36">
        <f>+V24*W24</f>
        <v>0</v>
      </c>
    </row>
    <row r="25" spans="1:25" ht="28.5" customHeight="1">
      <c r="A25" s="15"/>
      <c r="B25" s="74">
        <v>2</v>
      </c>
      <c r="C25" s="90"/>
      <c r="D25" s="91"/>
      <c r="E25" s="4"/>
      <c r="F25" s="90"/>
      <c r="G25" s="91"/>
      <c r="H25" s="4"/>
      <c r="I25" s="90"/>
      <c r="J25" s="91"/>
      <c r="K25" s="92"/>
      <c r="L25" s="93"/>
      <c r="M25" s="7"/>
      <c r="N25" s="8"/>
      <c r="O25" s="30" t="str">
        <f t="shared" si="0"/>
        <v/>
      </c>
      <c r="T25" s="31" t="s">
        <v>65</v>
      </c>
      <c r="U25" s="32">
        <v>100</v>
      </c>
      <c r="V25" s="32">
        <f>COUNTIF(N12:N42,"2.9")</f>
        <v>0</v>
      </c>
      <c r="W25" s="35">
        <v>69.19</v>
      </c>
      <c r="X25" s="35">
        <v>100.24</v>
      </c>
      <c r="Y25" s="36">
        <f>+V25*W25</f>
        <v>0</v>
      </c>
    </row>
    <row r="26" spans="1:25" ht="30" customHeight="1">
      <c r="A26" s="15"/>
      <c r="B26" s="74">
        <v>3</v>
      </c>
      <c r="C26" s="90"/>
      <c r="D26" s="91"/>
      <c r="E26" s="4"/>
      <c r="F26" s="90"/>
      <c r="G26" s="91"/>
      <c r="H26" s="4"/>
      <c r="I26" s="90"/>
      <c r="J26" s="91"/>
      <c r="K26" s="92"/>
      <c r="L26" s="93"/>
      <c r="M26" s="7"/>
      <c r="N26" s="8"/>
      <c r="O26" s="30" t="str">
        <f t="shared" si="0"/>
        <v/>
      </c>
      <c r="T26" s="31" t="s">
        <v>66</v>
      </c>
      <c r="U26" s="32"/>
      <c r="V26" s="32"/>
      <c r="W26" s="32"/>
      <c r="X26" s="32"/>
      <c r="Y26" s="33"/>
    </row>
    <row r="27" spans="1:25" ht="28.5" customHeight="1">
      <c r="A27" s="15"/>
      <c r="B27" s="74">
        <v>4</v>
      </c>
      <c r="C27" s="90"/>
      <c r="D27" s="91"/>
      <c r="E27" s="4"/>
      <c r="F27" s="90"/>
      <c r="G27" s="91"/>
      <c r="H27" s="4"/>
      <c r="I27" s="90"/>
      <c r="J27" s="91"/>
      <c r="K27" s="92"/>
      <c r="L27" s="93"/>
      <c r="M27" s="7"/>
      <c r="N27" s="8"/>
      <c r="O27" s="30" t="str">
        <f t="shared" si="0"/>
        <v/>
      </c>
      <c r="T27" s="31" t="s">
        <v>67</v>
      </c>
      <c r="U27" s="32"/>
      <c r="V27" s="37">
        <f>+M43</f>
        <v>0</v>
      </c>
      <c r="W27" s="32" t="s">
        <v>68</v>
      </c>
      <c r="X27" s="32" t="s">
        <v>68</v>
      </c>
      <c r="Y27" s="38">
        <f>+V27*0.3</f>
        <v>0</v>
      </c>
    </row>
    <row r="28" spans="1:25" ht="24.95" customHeight="1">
      <c r="A28" s="15"/>
      <c r="B28" s="74">
        <v>5</v>
      </c>
      <c r="C28" s="90"/>
      <c r="D28" s="91"/>
      <c r="E28" s="4"/>
      <c r="F28" s="90"/>
      <c r="G28" s="91"/>
      <c r="H28" s="4"/>
      <c r="I28" s="90"/>
      <c r="J28" s="91"/>
      <c r="K28" s="92"/>
      <c r="L28" s="93"/>
      <c r="M28" s="7"/>
      <c r="N28" s="8"/>
      <c r="O28" s="30" t="str">
        <f t="shared" si="0"/>
        <v/>
      </c>
      <c r="T28" s="31" t="s">
        <v>69</v>
      </c>
      <c r="U28" s="32"/>
      <c r="V28" s="37"/>
      <c r="W28" s="32"/>
      <c r="X28" s="32"/>
      <c r="Y28" s="38"/>
    </row>
    <row r="29" spans="1:25" ht="24.95" customHeight="1">
      <c r="A29" s="15"/>
      <c r="B29" s="74">
        <v>6</v>
      </c>
      <c r="C29" s="90"/>
      <c r="D29" s="91"/>
      <c r="E29" s="4"/>
      <c r="F29" s="90"/>
      <c r="G29" s="91"/>
      <c r="H29" s="4"/>
      <c r="I29" s="90"/>
      <c r="J29" s="91"/>
      <c r="K29" s="92"/>
      <c r="L29" s="93"/>
      <c r="M29" s="7"/>
      <c r="N29" s="8"/>
      <c r="O29" s="30" t="str">
        <f t="shared" si="0"/>
        <v/>
      </c>
      <c r="T29" s="94" t="s">
        <v>70</v>
      </c>
      <c r="U29" s="95"/>
      <c r="V29" s="95"/>
      <c r="W29" s="95"/>
      <c r="X29" s="95"/>
      <c r="Y29" s="39">
        <f>SUM(Y13:Y28)</f>
        <v>0</v>
      </c>
    </row>
    <row r="30" spans="1:25" ht="24.95" customHeight="1">
      <c r="A30" s="15"/>
      <c r="B30" s="74">
        <v>7</v>
      </c>
      <c r="C30" s="90"/>
      <c r="D30" s="91"/>
      <c r="E30" s="4"/>
      <c r="F30" s="90"/>
      <c r="G30" s="91"/>
      <c r="H30" s="4"/>
      <c r="I30" s="90"/>
      <c r="J30" s="91"/>
      <c r="K30" s="92"/>
      <c r="L30" s="93"/>
      <c r="M30" s="7"/>
      <c r="N30" s="8"/>
      <c r="O30" s="30" t="str">
        <f t="shared" si="0"/>
        <v/>
      </c>
    </row>
    <row r="31" spans="1:25" ht="27.75" customHeight="1">
      <c r="A31" s="15"/>
      <c r="B31" s="74">
        <v>8</v>
      </c>
      <c r="C31" s="90"/>
      <c r="D31" s="91"/>
      <c r="E31" s="4"/>
      <c r="F31" s="90"/>
      <c r="G31" s="91"/>
      <c r="H31" s="4"/>
      <c r="I31" s="90"/>
      <c r="J31" s="91"/>
      <c r="K31" s="92"/>
      <c r="L31" s="93"/>
      <c r="M31" s="7"/>
      <c r="N31" s="8"/>
      <c r="O31" s="30" t="str">
        <f t="shared" si="0"/>
        <v/>
      </c>
    </row>
    <row r="32" spans="1:25" ht="24.95" customHeight="1">
      <c r="A32" s="15"/>
      <c r="B32" s="74">
        <v>9</v>
      </c>
      <c r="C32" s="90"/>
      <c r="D32" s="91"/>
      <c r="E32" s="4"/>
      <c r="F32" s="90"/>
      <c r="G32" s="91"/>
      <c r="H32" s="4"/>
      <c r="I32" s="90"/>
      <c r="J32" s="91"/>
      <c r="K32" s="92"/>
      <c r="L32" s="93"/>
      <c r="M32" s="7"/>
      <c r="N32" s="8"/>
      <c r="O32" s="30" t="str">
        <f t="shared" si="0"/>
        <v/>
      </c>
    </row>
    <row r="33" spans="1:25" ht="28.5" customHeight="1">
      <c r="A33" s="15"/>
      <c r="B33" s="74">
        <v>10</v>
      </c>
      <c r="C33" s="90"/>
      <c r="D33" s="91"/>
      <c r="E33" s="4"/>
      <c r="F33" s="90"/>
      <c r="G33" s="91"/>
      <c r="H33" s="4"/>
      <c r="I33" s="90"/>
      <c r="J33" s="91"/>
      <c r="K33" s="92"/>
      <c r="L33" s="93"/>
      <c r="M33" s="7"/>
      <c r="N33" s="8"/>
      <c r="O33" s="30" t="str">
        <f t="shared" si="0"/>
        <v/>
      </c>
    </row>
    <row r="34" spans="1:25" ht="24.95" customHeight="1">
      <c r="A34" s="15"/>
      <c r="B34" s="74">
        <v>11</v>
      </c>
      <c r="C34" s="90"/>
      <c r="D34" s="91"/>
      <c r="E34" s="4"/>
      <c r="F34" s="90"/>
      <c r="G34" s="91"/>
      <c r="H34" s="4"/>
      <c r="I34" s="90"/>
      <c r="J34" s="91"/>
      <c r="K34" s="92"/>
      <c r="L34" s="93"/>
      <c r="M34" s="7"/>
      <c r="N34" s="8"/>
      <c r="O34" s="30" t="str">
        <f t="shared" si="0"/>
        <v/>
      </c>
    </row>
    <row r="35" spans="1:25" ht="24.95" customHeight="1">
      <c r="A35" s="15"/>
      <c r="B35" s="74">
        <v>12</v>
      </c>
      <c r="C35" s="90"/>
      <c r="D35" s="91"/>
      <c r="E35" s="4"/>
      <c r="F35" s="90"/>
      <c r="G35" s="91"/>
      <c r="H35" s="4"/>
      <c r="I35" s="90"/>
      <c r="J35" s="91"/>
      <c r="K35" s="92"/>
      <c r="L35" s="93"/>
      <c r="M35" s="7"/>
      <c r="N35" s="8"/>
      <c r="O35" s="30" t="str">
        <f t="shared" si="0"/>
        <v/>
      </c>
    </row>
    <row r="36" spans="1:25" ht="24.95" customHeight="1">
      <c r="A36" s="15"/>
      <c r="B36" s="74">
        <v>13</v>
      </c>
      <c r="C36" s="90"/>
      <c r="D36" s="91"/>
      <c r="E36" s="4"/>
      <c r="F36" s="90"/>
      <c r="G36" s="91"/>
      <c r="H36" s="4"/>
      <c r="I36" s="90"/>
      <c r="J36" s="91"/>
      <c r="K36" s="92"/>
      <c r="L36" s="93"/>
      <c r="M36" s="7"/>
      <c r="N36" s="8"/>
      <c r="O36" s="30" t="str">
        <f t="shared" si="0"/>
        <v/>
      </c>
    </row>
    <row r="37" spans="1:25" ht="24.95" customHeight="1">
      <c r="A37" s="15"/>
      <c r="B37" s="74">
        <v>14</v>
      </c>
      <c r="C37" s="90"/>
      <c r="D37" s="91"/>
      <c r="E37" s="4"/>
      <c r="F37" s="90"/>
      <c r="G37" s="91"/>
      <c r="H37" s="4"/>
      <c r="I37" s="90"/>
      <c r="J37" s="91"/>
      <c r="K37" s="92"/>
      <c r="L37" s="93"/>
      <c r="M37" s="7"/>
      <c r="N37" s="8"/>
      <c r="O37" s="30" t="str">
        <f t="shared" si="0"/>
        <v/>
      </c>
    </row>
    <row r="38" spans="1:25" ht="26.45" customHeight="1">
      <c r="A38" s="15"/>
      <c r="B38" s="74">
        <v>15</v>
      </c>
      <c r="C38" s="90"/>
      <c r="D38" s="91"/>
      <c r="E38" s="4"/>
      <c r="F38" s="90"/>
      <c r="G38" s="91"/>
      <c r="H38" s="4"/>
      <c r="I38" s="90"/>
      <c r="J38" s="91"/>
      <c r="K38" s="92"/>
      <c r="L38" s="93"/>
      <c r="M38" s="7"/>
      <c r="N38" s="8"/>
      <c r="O38" s="30" t="str">
        <f t="shared" si="0"/>
        <v/>
      </c>
    </row>
    <row r="39" spans="1:25" ht="24.95" customHeight="1">
      <c r="A39" s="15"/>
      <c r="B39" s="74">
        <v>16</v>
      </c>
      <c r="C39" s="90"/>
      <c r="D39" s="91"/>
      <c r="E39" s="4"/>
      <c r="F39" s="90"/>
      <c r="G39" s="91"/>
      <c r="H39" s="4"/>
      <c r="I39" s="90"/>
      <c r="J39" s="91"/>
      <c r="K39" s="92"/>
      <c r="L39" s="93"/>
      <c r="M39" s="7"/>
      <c r="N39" s="8"/>
      <c r="O39" s="30" t="str">
        <f t="shared" si="0"/>
        <v/>
      </c>
      <c r="T39" s="40"/>
    </row>
    <row r="40" spans="1:25" ht="28.35" customHeight="1">
      <c r="A40" s="15"/>
      <c r="B40" s="74">
        <v>17</v>
      </c>
      <c r="C40" s="90"/>
      <c r="D40" s="91"/>
      <c r="E40" s="4"/>
      <c r="F40" s="90"/>
      <c r="G40" s="91"/>
      <c r="H40" s="4"/>
      <c r="I40" s="90"/>
      <c r="J40" s="91"/>
      <c r="K40" s="92"/>
      <c r="L40" s="93"/>
      <c r="M40" s="7"/>
      <c r="N40" s="8"/>
      <c r="O40" s="30" t="str">
        <f t="shared" si="0"/>
        <v/>
      </c>
    </row>
    <row r="41" spans="1:25" ht="24.95" customHeight="1">
      <c r="A41" s="15"/>
      <c r="B41" s="74">
        <v>18</v>
      </c>
      <c r="C41" s="90"/>
      <c r="D41" s="91"/>
      <c r="E41" s="4"/>
      <c r="F41" s="90"/>
      <c r="G41" s="91"/>
      <c r="H41" s="4"/>
      <c r="I41" s="90"/>
      <c r="J41" s="91"/>
      <c r="K41" s="92"/>
      <c r="L41" s="93"/>
      <c r="M41" s="7"/>
      <c r="N41" s="8"/>
      <c r="O41" s="30" t="str">
        <f t="shared" si="0"/>
        <v/>
      </c>
    </row>
    <row r="42" spans="1:25" ht="24.95" customHeight="1">
      <c r="A42" s="15"/>
      <c r="B42" s="74">
        <v>19</v>
      </c>
      <c r="C42" s="90"/>
      <c r="D42" s="91"/>
      <c r="E42" s="4"/>
      <c r="F42" s="90"/>
      <c r="G42" s="91"/>
      <c r="H42" s="4"/>
      <c r="I42" s="92"/>
      <c r="J42" s="93"/>
      <c r="K42" s="92"/>
      <c r="L42" s="93"/>
      <c r="M42" s="7"/>
      <c r="N42" s="8"/>
      <c r="O42" s="30" t="str">
        <f t="shared" si="0"/>
        <v/>
      </c>
      <c r="Q42" s="19"/>
      <c r="R42" s="19"/>
      <c r="T42" s="41"/>
      <c r="U42" s="41"/>
      <c r="V42" s="41"/>
      <c r="W42" s="41"/>
      <c r="X42" s="41"/>
      <c r="Y42" s="41"/>
    </row>
    <row r="43" spans="1:25" s="41" customFormat="1" ht="20.100000000000001" customHeight="1">
      <c r="A43" s="42"/>
      <c r="B43" s="43"/>
      <c r="C43" s="44"/>
      <c r="D43" s="44"/>
      <c r="E43" s="44"/>
      <c r="F43" s="44"/>
      <c r="G43" s="44"/>
      <c r="H43" s="44"/>
      <c r="I43" s="44"/>
      <c r="J43" s="45"/>
      <c r="K43" s="45"/>
      <c r="L43" s="46" t="s">
        <v>71</v>
      </c>
      <c r="M43" s="47">
        <f>SUM(M12:M42)</f>
        <v>0</v>
      </c>
      <c r="N43" s="48"/>
      <c r="O43" s="18"/>
      <c r="Q43" s="19"/>
      <c r="R43" s="19"/>
      <c r="S43" s="19"/>
    </row>
    <row r="44" spans="1:25" s="41" customFormat="1" ht="20.100000000000001" customHeight="1">
      <c r="A44" s="42"/>
      <c r="B44" s="49"/>
      <c r="C44" s="50"/>
      <c r="D44" s="51"/>
      <c r="E44" s="51"/>
      <c r="F44" s="51"/>
      <c r="G44" s="52"/>
      <c r="H44" s="52"/>
      <c r="I44" s="52"/>
      <c r="J44" s="53"/>
      <c r="K44" s="53"/>
      <c r="L44" s="54" t="s">
        <v>72</v>
      </c>
      <c r="M44" s="55">
        <v>0.3</v>
      </c>
      <c r="N44" s="56"/>
      <c r="O44" s="18"/>
      <c r="Q44" s="19"/>
      <c r="R44" s="19"/>
      <c r="S44" s="19"/>
    </row>
    <row r="45" spans="1:25" s="41" customFormat="1" ht="20.100000000000001" customHeight="1">
      <c r="A45" s="42"/>
      <c r="B45" s="57"/>
      <c r="C45" s="58"/>
      <c r="D45" s="59"/>
      <c r="E45" s="59"/>
      <c r="F45" s="59"/>
      <c r="G45" s="60"/>
      <c r="H45" s="60"/>
      <c r="I45" s="60"/>
      <c r="J45" s="61"/>
      <c r="K45" s="61"/>
      <c r="L45" s="62" t="s">
        <v>73</v>
      </c>
      <c r="M45" s="55">
        <f>M43*M44</f>
        <v>0</v>
      </c>
      <c r="N45" s="56"/>
      <c r="O45" s="18"/>
      <c r="Q45" s="17"/>
      <c r="R45" s="17"/>
      <c r="S45" s="19"/>
      <c r="T45" s="16"/>
      <c r="U45" s="16"/>
      <c r="V45" s="16"/>
      <c r="W45" s="16"/>
      <c r="X45" s="16"/>
      <c r="Y45" s="16"/>
    </row>
    <row r="46" spans="1:25" s="16" customFormat="1" ht="5.25" customHeight="1">
      <c r="A46" s="63"/>
      <c r="N46" s="17"/>
      <c r="O46" s="18"/>
      <c r="Q46" s="17"/>
      <c r="R46" s="17"/>
      <c r="S46" s="17"/>
    </row>
    <row r="47" spans="1:25" s="16" customFormat="1" ht="20.100000000000001" customHeight="1">
      <c r="A47" s="63"/>
      <c r="C47" s="20" t="s">
        <v>74</v>
      </c>
      <c r="D47" s="96"/>
      <c r="E47" s="96"/>
      <c r="F47" s="96"/>
      <c r="G47" s="96"/>
      <c r="H47" s="96"/>
      <c r="I47" s="96"/>
      <c r="K47" s="20" t="s">
        <v>75</v>
      </c>
      <c r="L47" s="100"/>
      <c r="M47" s="100"/>
      <c r="N47" s="64"/>
      <c r="O47" s="18"/>
      <c r="Q47" s="17"/>
      <c r="R47" s="17"/>
      <c r="S47" s="17"/>
    </row>
    <row r="48" spans="1:25" s="16" customFormat="1" ht="20.100000000000001" customHeight="1">
      <c r="A48" s="63"/>
      <c r="C48" s="20" t="s">
        <v>76</v>
      </c>
      <c r="D48" s="96"/>
      <c r="E48" s="96"/>
      <c r="F48" s="96"/>
      <c r="G48" s="96"/>
      <c r="H48" s="96"/>
      <c r="I48" s="96"/>
      <c r="N48" s="17"/>
      <c r="O48" s="18"/>
      <c r="Q48" s="17"/>
      <c r="R48" s="17"/>
      <c r="S48" s="17"/>
    </row>
    <row r="49" spans="1:25" s="16" customFormat="1" ht="20.100000000000001" customHeight="1">
      <c r="A49" s="63"/>
      <c r="C49" s="20" t="s">
        <v>77</v>
      </c>
      <c r="D49" s="97"/>
      <c r="E49" s="97"/>
      <c r="F49" s="97"/>
      <c r="G49" s="97"/>
      <c r="H49" s="97"/>
      <c r="I49" s="97"/>
      <c r="J49" s="20" t="s">
        <v>78</v>
      </c>
      <c r="K49" s="98"/>
      <c r="L49" s="98"/>
      <c r="M49" s="98"/>
      <c r="N49" s="17"/>
      <c r="O49" s="18"/>
      <c r="Q49" s="17"/>
      <c r="R49" s="17"/>
      <c r="S49" s="17"/>
    </row>
    <row r="50" spans="1:25" s="16" customFormat="1" ht="20.100000000000001" customHeight="1">
      <c r="A50" s="63"/>
      <c r="G50"/>
      <c r="H50"/>
      <c r="I50"/>
      <c r="J50"/>
      <c r="L50" s="65"/>
      <c r="M50" s="65"/>
      <c r="N50" s="66"/>
      <c r="O50" s="18"/>
      <c r="Q50" s="17"/>
      <c r="R50" s="17"/>
      <c r="S50" s="17"/>
    </row>
    <row r="51" spans="1:25" s="16" customFormat="1" ht="20.100000000000001" customHeight="1">
      <c r="A51" s="63"/>
      <c r="C51" s="20" t="s">
        <v>79</v>
      </c>
      <c r="D51" s="99"/>
      <c r="E51" s="99"/>
      <c r="F51" s="99"/>
      <c r="G51" s="20" t="s">
        <v>75</v>
      </c>
      <c r="H51" s="73"/>
      <c r="J51" s="20" t="s">
        <v>80</v>
      </c>
      <c r="K51" s="98"/>
      <c r="L51" s="98"/>
      <c r="M51" s="17"/>
      <c r="O51" s="18"/>
      <c r="Q51" s="17"/>
      <c r="R51" s="17"/>
      <c r="S51" s="17"/>
    </row>
    <row r="52" spans="1:25" s="16" customFormat="1" ht="19.5" customHeight="1">
      <c r="A52" s="63"/>
      <c r="D52"/>
      <c r="E52"/>
      <c r="F52"/>
      <c r="G52"/>
      <c r="H52"/>
      <c r="I52"/>
      <c r="J52"/>
      <c r="N52" s="17"/>
      <c r="O52" s="18"/>
      <c r="Q52" s="17"/>
      <c r="R52" s="17"/>
      <c r="S52" s="17"/>
    </row>
    <row r="53" spans="1:25" s="16" customFormat="1" ht="74.25" customHeight="1" thickBot="1">
      <c r="A53" s="67"/>
      <c r="B53" s="68"/>
      <c r="C53" s="69"/>
      <c r="D53" s="69"/>
      <c r="E53" s="69"/>
      <c r="F53" s="69"/>
      <c r="G53" s="69"/>
      <c r="H53" s="69"/>
      <c r="I53" s="69"/>
      <c r="J53" s="69"/>
      <c r="K53" s="68"/>
      <c r="L53" s="68"/>
      <c r="M53" s="68"/>
      <c r="N53" s="70"/>
      <c r="O53" s="71"/>
      <c r="Q53" s="17"/>
      <c r="R53" s="17"/>
      <c r="S53" s="17"/>
    </row>
    <row r="54" spans="1:25" s="16" customFormat="1" ht="19.5" customHeight="1">
      <c r="N54" s="17"/>
      <c r="O54" s="14"/>
      <c r="Q54" s="17"/>
      <c r="R54" s="17"/>
      <c r="S54" s="17"/>
    </row>
    <row r="55" spans="1:25" s="16" customFormat="1" ht="19.5" customHeight="1">
      <c r="D55" s="26"/>
      <c r="E55" s="26"/>
      <c r="F55" s="26"/>
      <c r="G55" s="26"/>
      <c r="H55" s="26"/>
      <c r="I55" s="26"/>
      <c r="N55" s="17"/>
      <c r="O55" s="14"/>
      <c r="Q55" s="17"/>
      <c r="R55" s="17"/>
      <c r="S55" s="17"/>
    </row>
    <row r="56" spans="1:25" s="16" customFormat="1" ht="19.5" customHeight="1">
      <c r="D56" s="72"/>
      <c r="E56" s="72"/>
      <c r="F56" s="72"/>
      <c r="G56" s="72"/>
      <c r="H56" s="72"/>
      <c r="I56" s="72"/>
      <c r="N56" s="17"/>
      <c r="O56" s="14"/>
      <c r="Q56" s="14"/>
      <c r="R56" s="14"/>
      <c r="S56" s="17"/>
      <c r="T56" s="13"/>
      <c r="U56" s="13"/>
      <c r="V56" s="13"/>
      <c r="W56" s="13"/>
      <c r="X56" s="13"/>
      <c r="Y56" s="13"/>
    </row>
    <row r="57" spans="1:25" ht="19.5" customHeight="1"/>
    <row r="58" spans="1:25" ht="19.5" customHeight="1"/>
    <row r="59" spans="1:25" ht="19.5" customHeight="1"/>
    <row r="60" spans="1:25" ht="19.5" customHeight="1"/>
    <row r="61" spans="1:25" ht="19.5" customHeight="1"/>
  </sheetData>
  <sheetProtection algorithmName="SHA-512" hashValue="3ptM8CiMVnhDsaZ2AMBcktwR68xcpFVwjPGeX/CevwEbSRLOnZsOCwr7DIB3yaegvmdmH9n0j6KbBmpJI3Ro+A==" saltValue="ov4n3U2BN/T8xE/Xyt54Dg==" spinCount="100000" sheet="1" objects="1" scenarios="1" formatCells="0" formatRows="0" selectLockedCells="1"/>
  <mergeCells count="145">
    <mergeCell ref="D48:I48"/>
    <mergeCell ref="D49:I49"/>
    <mergeCell ref="K49:M49"/>
    <mergeCell ref="D51:F51"/>
    <mergeCell ref="K51:L51"/>
    <mergeCell ref="C42:D42"/>
    <mergeCell ref="F42:G42"/>
    <mergeCell ref="I42:J42"/>
    <mergeCell ref="K42:L42"/>
    <mergeCell ref="D47:I47"/>
    <mergeCell ref="L47:M47"/>
    <mergeCell ref="C40:D40"/>
    <mergeCell ref="F40:G40"/>
    <mergeCell ref="I40:J40"/>
    <mergeCell ref="K40:L40"/>
    <mergeCell ref="C41:D41"/>
    <mergeCell ref="F41:G41"/>
    <mergeCell ref="I41:J41"/>
    <mergeCell ref="K41:L41"/>
    <mergeCell ref="C38:D38"/>
    <mergeCell ref="F38:G38"/>
    <mergeCell ref="I38:J38"/>
    <mergeCell ref="K38:L38"/>
    <mergeCell ref="C39:D39"/>
    <mergeCell ref="F39:G39"/>
    <mergeCell ref="I39:J39"/>
    <mergeCell ref="K39:L39"/>
    <mergeCell ref="C36:D36"/>
    <mergeCell ref="F36:G36"/>
    <mergeCell ref="I36:J36"/>
    <mergeCell ref="K36:L36"/>
    <mergeCell ref="C37:D37"/>
    <mergeCell ref="F37:G37"/>
    <mergeCell ref="I37:J37"/>
    <mergeCell ref="K37:L37"/>
    <mergeCell ref="C34:D34"/>
    <mergeCell ref="F34:G34"/>
    <mergeCell ref="I34:J34"/>
    <mergeCell ref="K34:L34"/>
    <mergeCell ref="C35:D35"/>
    <mergeCell ref="F35:G35"/>
    <mergeCell ref="I35:J35"/>
    <mergeCell ref="K35:L35"/>
    <mergeCell ref="C32:D32"/>
    <mergeCell ref="F32:G32"/>
    <mergeCell ref="I32:J32"/>
    <mergeCell ref="K32:L32"/>
    <mergeCell ref="C33:D33"/>
    <mergeCell ref="F33:G33"/>
    <mergeCell ref="I33:J33"/>
    <mergeCell ref="K33:L33"/>
    <mergeCell ref="T29:X29"/>
    <mergeCell ref="C30:D30"/>
    <mergeCell ref="F30:G30"/>
    <mergeCell ref="I30:J30"/>
    <mergeCell ref="K30:L30"/>
    <mergeCell ref="C31:D31"/>
    <mergeCell ref="F31:G31"/>
    <mergeCell ref="I31:J31"/>
    <mergeCell ref="K31:L31"/>
    <mergeCell ref="C28:D28"/>
    <mergeCell ref="F28:G28"/>
    <mergeCell ref="I28:J28"/>
    <mergeCell ref="K28:L28"/>
    <mergeCell ref="C29:D29"/>
    <mergeCell ref="F29:G29"/>
    <mergeCell ref="I29:J29"/>
    <mergeCell ref="K29:L29"/>
    <mergeCell ref="C26:D26"/>
    <mergeCell ref="F26:G26"/>
    <mergeCell ref="I26:J26"/>
    <mergeCell ref="K26:L26"/>
    <mergeCell ref="C27:D27"/>
    <mergeCell ref="F27:G27"/>
    <mergeCell ref="I27:J27"/>
    <mergeCell ref="K27:L27"/>
    <mergeCell ref="C24:D24"/>
    <mergeCell ref="F24:G24"/>
    <mergeCell ref="I24:J24"/>
    <mergeCell ref="K24:L24"/>
    <mergeCell ref="C25:D25"/>
    <mergeCell ref="F25:G25"/>
    <mergeCell ref="I25:J25"/>
    <mergeCell ref="K25:L25"/>
    <mergeCell ref="C22:D22"/>
    <mergeCell ref="F22:G22"/>
    <mergeCell ref="I22:J22"/>
    <mergeCell ref="K22:L22"/>
    <mergeCell ref="C23:D23"/>
    <mergeCell ref="F23:G23"/>
    <mergeCell ref="I23:J23"/>
    <mergeCell ref="K23:L23"/>
    <mergeCell ref="C20:D20"/>
    <mergeCell ref="F20:G20"/>
    <mergeCell ref="I20:J20"/>
    <mergeCell ref="K20:L20"/>
    <mergeCell ref="C21:D21"/>
    <mergeCell ref="F21:G21"/>
    <mergeCell ref="I21:J21"/>
    <mergeCell ref="K21:L21"/>
    <mergeCell ref="C17:D17"/>
    <mergeCell ref="F17:G17"/>
    <mergeCell ref="I17:J17"/>
    <mergeCell ref="K17:L17"/>
    <mergeCell ref="C19:D19"/>
    <mergeCell ref="F19:G19"/>
    <mergeCell ref="I19:J19"/>
    <mergeCell ref="K19:L19"/>
    <mergeCell ref="C18:D18"/>
    <mergeCell ref="F18:G18"/>
    <mergeCell ref="I18:J18"/>
    <mergeCell ref="K18:L18"/>
    <mergeCell ref="C14:D14"/>
    <mergeCell ref="F14:G14"/>
    <mergeCell ref="I14:J14"/>
    <mergeCell ref="K14:L14"/>
    <mergeCell ref="C16:D16"/>
    <mergeCell ref="F16:G16"/>
    <mergeCell ref="I16:J16"/>
    <mergeCell ref="K16:L16"/>
    <mergeCell ref="I12:J12"/>
    <mergeCell ref="K12:L12"/>
    <mergeCell ref="C13:D13"/>
    <mergeCell ref="F13:G13"/>
    <mergeCell ref="I13:J13"/>
    <mergeCell ref="K13:L13"/>
    <mergeCell ref="T10:Y10"/>
    <mergeCell ref="C11:D11"/>
    <mergeCell ref="F11:G11"/>
    <mergeCell ref="T11:T12"/>
    <mergeCell ref="U11:U12"/>
    <mergeCell ref="V11:V12"/>
    <mergeCell ref="W11:X11"/>
    <mergeCell ref="Y11:Y12"/>
    <mergeCell ref="C12:D12"/>
    <mergeCell ref="F12:G12"/>
    <mergeCell ref="B3:O3"/>
    <mergeCell ref="K7:L7"/>
    <mergeCell ref="B10:B11"/>
    <mergeCell ref="C10:E10"/>
    <mergeCell ref="F10:H10"/>
    <mergeCell ref="I10:J11"/>
    <mergeCell ref="K10:L11"/>
    <mergeCell ref="M10:M11"/>
    <mergeCell ref="N10:O10"/>
  </mergeCells>
  <dataValidations count="5">
    <dataValidation type="list" allowBlank="1" showInputMessage="1" showErrorMessage="1" sqref="K7" xr:uid="{2977BAB4-05CC-4659-8F85-440B17E5FFA7}">
      <formula1>$Q$3:$Q$14</formula1>
    </dataValidation>
    <dataValidation type="list" allowBlank="1" showInputMessage="1" showErrorMessage="1" sqref="M7" xr:uid="{89B4E9B3-4777-44E8-BECA-B25B35988E79}">
      <formula1>$R$7:$R$14</formula1>
    </dataValidation>
    <dataValidation type="list" allowBlank="1" showInputMessage="1" showErrorMessage="1" sqref="N12:N15 N40:N41 N38 N17:N36" xr:uid="{5FEAFD7C-D814-4073-8DC7-DBC8F98B7D5F}">
      <formula1>$S$3:$S$11</formula1>
    </dataValidation>
    <dataValidation type="time" allowBlank="1" showInputMessage="1" showErrorMessage="1" errorTitle="Dados deste campo" error="Deverá preeencher este campo com um valor entre 00:00 e 23:59" promptTitle="Ajuda" prompt="Valor entre 00:00 e 23:59" sqref="H12:H42 E12:E42" xr:uid="{FF26227E-C227-4335-B9D2-2BF8DED58E04}">
      <formula1>0</formula1>
      <formula2>0.999305555555556</formula2>
    </dataValidation>
    <dataValidation type="whole" allowBlank="1" showInputMessage="1" showErrorMessage="1" sqref="M12:M42" xr:uid="{9AC71CEA-696D-40AE-8722-C2E1B8D9519E}">
      <formula1>0</formula1>
      <formula2>9999999</formula2>
    </dataValidation>
  </dataValidations>
  <printOptions horizontalCentered="1"/>
  <pageMargins left="0.23622047244094491" right="0.23622047244094491" top="0.39370078740157483" bottom="0.39370078740157483" header="0.31496062992125984" footer="0.31496062992125984"/>
  <pageSetup scale="56" orientation="portrait" r:id="rId1"/>
  <headerFooter>
    <oddFooter>&amp;LIMP27_v01 | 02.01.2026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8F08220F89DB45876F52DD6528A8DF" ma:contentTypeVersion="12" ma:contentTypeDescription="Criar um novo documento." ma:contentTypeScope="" ma:versionID="ec2302f02d79decda2366b77196ee010">
  <xsd:schema xmlns:xsd="http://www.w3.org/2001/XMLSchema" xmlns:xs="http://www.w3.org/2001/XMLSchema" xmlns:p="http://schemas.microsoft.com/office/2006/metadata/properties" xmlns:ns2="3b9e070d-9d51-46db-8d7d-6462ac326503" xmlns:ns3="7de4c2b6-fcaf-47a3-8a4f-46c03f1c20eb" targetNamespace="http://schemas.microsoft.com/office/2006/metadata/properties" ma:root="true" ma:fieldsID="26bfa0ad4d86ea7780f47072d499f3bc" ns2:_="" ns3:_="">
    <xsd:import namespace="3b9e070d-9d51-46db-8d7d-6462ac326503"/>
    <xsd:import namespace="7de4c2b6-fcaf-47a3-8a4f-46c03f1c20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9e070d-9d51-46db-8d7d-6462ac326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22bb92f3-812b-43ff-9afc-d4b433c9c6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e4c2b6-fcaf-47a3-8a4f-46c03f1c20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55428c9-af13-4f40-b10f-9152c4af9b6b}" ma:internalName="TaxCatchAll" ma:showField="CatchAllData" ma:web="7de4c2b6-fcaf-47a3-8a4f-46c03f1c20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9e070d-9d51-46db-8d7d-6462ac326503">
      <Terms xmlns="http://schemas.microsoft.com/office/infopath/2007/PartnerControls"/>
    </lcf76f155ced4ddcb4097134ff3c332f>
    <TaxCatchAll xmlns="7de4c2b6-fcaf-47a3-8a4f-46c03f1c20eb" xsi:nil="true"/>
  </documentManagement>
</p:properties>
</file>

<file path=customXml/itemProps1.xml><?xml version="1.0" encoding="utf-8"?>
<ds:datastoreItem xmlns:ds="http://schemas.openxmlformats.org/officeDocument/2006/customXml" ds:itemID="{0707D3A6-7BFE-4549-87A1-5DD13955B3C3}"/>
</file>

<file path=customXml/itemProps2.xml><?xml version="1.0" encoding="utf-8"?>
<ds:datastoreItem xmlns:ds="http://schemas.openxmlformats.org/officeDocument/2006/customXml" ds:itemID="{5C421D7B-278A-4A00-8D2B-7BA8782B9CCD}"/>
</file>

<file path=customXml/itemProps3.xml><?xml version="1.0" encoding="utf-8"?>
<ds:datastoreItem xmlns:ds="http://schemas.openxmlformats.org/officeDocument/2006/customXml" ds:itemID="{EB61B50D-039B-488F-B2F8-55A3E11827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Mónica Vaia</dc:creator>
  <cp:keywords/>
  <dc:description/>
  <cp:lastModifiedBy/>
  <cp:revision/>
  <dcterms:created xsi:type="dcterms:W3CDTF">2026-01-05T12:42:00Z</dcterms:created>
  <dcterms:modified xsi:type="dcterms:W3CDTF">2026-05-28T10:51:41Z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0x010100B98F08220F89DB45876F52DD6528A8DF</vt:lpwstr>
  </property>
  <property fmtid="{D5CDD505-2E9C-101B-9397-08002B2CF9AE}" pid="3" name="MediaServiceImageTags">
    <vt:lpwstr/>
  </property>
</Properties>
</file>