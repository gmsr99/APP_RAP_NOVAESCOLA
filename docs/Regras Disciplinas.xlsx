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SergioLopo/Downloads/"/>
    </mc:Choice>
  </mc:AlternateContent>
  <xr:revisionPtr revIDLastSave="0" documentId="13_ncr:1_{683DB6C0-9E9E-964F-B47F-613BE716F815}" xr6:coauthVersionLast="47" xr6:coauthVersionMax="47" xr10:uidLastSave="{00000000-0000-0000-0000-000000000000}"/>
  <bookViews>
    <workbookView xWindow="0" yWindow="0" windowWidth="38400" windowHeight="21600" xr2:uid="{0E71F691-E5D1-FC45-AFCD-FB01C4DDF7B5}"/>
  </bookViews>
  <sheets>
    <sheet name="Pressupostos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18" l="1"/>
  <c r="K8" i="18" l="1"/>
  <c r="J8" i="18"/>
  <c r="G8" i="18"/>
  <c r="L7" i="18"/>
  <c r="K7" i="18"/>
  <c r="J7" i="18"/>
  <c r="F8" i="18"/>
  <c r="F7" i="18"/>
  <c r="L6" i="18"/>
  <c r="K6" i="18"/>
  <c r="J6" i="18"/>
  <c r="H6" i="18"/>
  <c r="F6" i="18"/>
  <c r="L5" i="18"/>
  <c r="K5" i="18"/>
  <c r="J5" i="18"/>
  <c r="J4" i="18"/>
  <c r="F5" i="18"/>
  <c r="I5" i="18"/>
  <c r="L4" i="18"/>
  <c r="K4" i="18"/>
  <c r="H4" i="18"/>
  <c r="G4" i="18"/>
  <c r="F4" i="18"/>
  <c r="I7" i="18" l="1"/>
  <c r="G6" i="18"/>
</calcChain>
</file>

<file path=xl/sharedStrings.xml><?xml version="1.0" encoding="utf-8"?>
<sst xmlns="http://schemas.openxmlformats.org/spreadsheetml/2006/main" count="29" uniqueCount="17">
  <si>
    <t>Clube de RAP</t>
  </si>
  <si>
    <t>Horas</t>
  </si>
  <si>
    <t>Coordenador</t>
  </si>
  <si>
    <t>Rapper</t>
  </si>
  <si>
    <t>Produtor</t>
  </si>
  <si>
    <t>Oficina de Português</t>
  </si>
  <si>
    <t>Clube de Produção Instrumental</t>
  </si>
  <si>
    <t>Sessões</t>
  </si>
  <si>
    <t>Presencial</t>
  </si>
  <si>
    <t>Autónomo</t>
  </si>
  <si>
    <t>Disciplina</t>
  </si>
  <si>
    <t>Oficina de Música</t>
  </si>
  <si>
    <t>Número</t>
  </si>
  <si>
    <t>Horas p/ disciplina/ pessoa</t>
  </si>
  <si>
    <t>Vídeógrafo</t>
  </si>
  <si>
    <t>Clube de Vídeo</t>
  </si>
  <si>
    <t>Produções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</si>
</sst>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3" borderId="1" xfId="0" applyFont="1" applyFill="1" applyBorder="1"/>
    <xf numFmtId="164" fontId="0" fillId="2" borderId="0" xfId="0" applyNumberFormat="1" applyFill="1"/>
    <xf numFmtId="2" fontId="0" fillId="2" borderId="1" xfId="0" applyNumberFormat="1" applyFill="1" applyBorder="1"/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56D3B-0339-D044-865F-7F12B4EDA4EE}">
  <dimension ref="A1:N16"/>
  <sheetViews>
    <sheetView tabSelected="1" workbookViewId="0">
      <pane ySplit="1" topLeftCell="A2" activePane="bottomLeft" state="frozen"/>
      <selection pane="bottomLeft" sqref="A1:A3"/>
    </sheetView>
  </sheetViews>
  <sheetFormatPr baseColWidth="10" defaultRowHeight="16" x14ac:dyDescent="0.2"/>
  <cols>
    <col min="1" max="1" width="27.5" style="1" bestFit="1" customWidth="1"/>
    <col min="2" max="2" width="10" style="1" bestFit="1" customWidth="1"/>
    <col min="3" max="3" width="8" style="1" bestFit="1" customWidth="1"/>
    <col min="4" max="4" width="8" style="1" customWidth="1"/>
    <col min="5" max="5" width="11.83203125" style="1" bestFit="1" customWidth="1"/>
    <col min="6" max="6" width="9.6640625" style="1" bestFit="1" customWidth="1"/>
    <col min="7" max="7" width="10" style="1" bestFit="1" customWidth="1"/>
    <col min="8" max="8" width="10.1640625" style="1" bestFit="1" customWidth="1"/>
    <col min="9" max="9" width="10" style="1" bestFit="1" customWidth="1"/>
    <col min="10" max="10" width="9.6640625" style="1" bestFit="1" customWidth="1"/>
    <col min="11" max="11" width="10" style="1" bestFit="1" customWidth="1"/>
    <col min="12" max="12" width="9.6640625" style="1" bestFit="1" customWidth="1"/>
    <col min="13" max="13" width="2.33203125" style="1" customWidth="1"/>
    <col min="14" max="14" width="10.33203125" style="1" bestFit="1" customWidth="1"/>
    <col min="15" max="15" width="9.83203125" style="1" bestFit="1" customWidth="1"/>
    <col min="16" max="16" width="10" style="1" bestFit="1" customWidth="1"/>
    <col min="17" max="16384" width="10.83203125" style="1"/>
  </cols>
  <sheetData>
    <row r="1" spans="1:14" x14ac:dyDescent="0.2">
      <c r="A1" s="9" t="s">
        <v>10</v>
      </c>
      <c r="B1" s="9" t="s">
        <v>12</v>
      </c>
      <c r="C1" s="9" t="s">
        <v>7</v>
      </c>
      <c r="D1" s="9" t="s">
        <v>1</v>
      </c>
      <c r="E1" s="6" t="s">
        <v>13</v>
      </c>
      <c r="F1" s="7"/>
      <c r="G1" s="7"/>
      <c r="H1" s="7"/>
      <c r="I1" s="7"/>
      <c r="J1" s="7"/>
      <c r="K1" s="7"/>
      <c r="L1" s="7"/>
    </row>
    <row r="2" spans="1:14" x14ac:dyDescent="0.2">
      <c r="A2" s="9"/>
      <c r="B2" s="9"/>
      <c r="C2" s="9"/>
      <c r="D2" s="9"/>
      <c r="E2" s="8" t="s">
        <v>2</v>
      </c>
      <c r="F2" s="8"/>
      <c r="G2" s="8" t="s">
        <v>3</v>
      </c>
      <c r="H2" s="8"/>
      <c r="I2" s="8" t="s">
        <v>4</v>
      </c>
      <c r="J2" s="8"/>
      <c r="K2" s="8" t="s">
        <v>14</v>
      </c>
      <c r="L2" s="8"/>
    </row>
    <row r="3" spans="1:14" x14ac:dyDescent="0.2">
      <c r="A3" s="9"/>
      <c r="B3" s="9"/>
      <c r="C3" s="9"/>
      <c r="D3" s="9"/>
      <c r="E3" s="3" t="s">
        <v>8</v>
      </c>
      <c r="F3" s="3" t="s">
        <v>9</v>
      </c>
      <c r="G3" s="3" t="s">
        <v>8</v>
      </c>
      <c r="H3" s="3" t="s">
        <v>9</v>
      </c>
      <c r="I3" s="3" t="s">
        <v>8</v>
      </c>
      <c r="J3" s="3" t="s">
        <v>9</v>
      </c>
      <c r="K3" s="3" t="s">
        <v>8</v>
      </c>
      <c r="L3" s="3" t="s">
        <v>9</v>
      </c>
    </row>
    <row r="4" spans="1:14" x14ac:dyDescent="0.2">
      <c r="A4" s="2" t="s">
        <v>5</v>
      </c>
      <c r="B4" s="2">
        <v>1</v>
      </c>
      <c r="C4" s="2">
        <v>3</v>
      </c>
      <c r="D4" s="2">
        <v>2</v>
      </c>
      <c r="E4" s="5"/>
      <c r="F4" s="5">
        <f>B4*1</f>
        <v>1</v>
      </c>
      <c r="G4" s="5">
        <f>B4*C4*D4</f>
        <v>6</v>
      </c>
      <c r="H4" s="5">
        <f>B4*1</f>
        <v>1</v>
      </c>
      <c r="I4" s="5"/>
      <c r="J4" s="5">
        <f>B12*3</f>
        <v>3</v>
      </c>
      <c r="K4" s="5">
        <f>B4*D4</f>
        <v>2</v>
      </c>
      <c r="L4" s="5">
        <f>B12*4</f>
        <v>4</v>
      </c>
      <c r="N4" s="4"/>
    </row>
    <row r="5" spans="1:14" x14ac:dyDescent="0.2">
      <c r="A5" s="2" t="s">
        <v>11</v>
      </c>
      <c r="B5" s="2">
        <v>1</v>
      </c>
      <c r="C5" s="2">
        <v>2</v>
      </c>
      <c r="D5" s="2">
        <v>1.5</v>
      </c>
      <c r="E5" s="5"/>
      <c r="F5" s="5">
        <f>B5*1</f>
        <v>1</v>
      </c>
      <c r="G5" s="5"/>
      <c r="H5" s="5"/>
      <c r="I5" s="5">
        <f>B5*C5*D5</f>
        <v>3</v>
      </c>
      <c r="J5" s="5">
        <f>B5*1</f>
        <v>1</v>
      </c>
      <c r="K5" s="5">
        <f>B5*D5</f>
        <v>1.5</v>
      </c>
      <c r="L5" s="5">
        <f>B13*2</f>
        <v>2</v>
      </c>
      <c r="N5" s="4"/>
    </row>
    <row r="6" spans="1:14" x14ac:dyDescent="0.2">
      <c r="A6" s="2" t="s">
        <v>0</v>
      </c>
      <c r="B6" s="2">
        <v>1</v>
      </c>
      <c r="C6" s="2">
        <v>16</v>
      </c>
      <c r="D6" s="2">
        <v>2</v>
      </c>
      <c r="E6" s="5"/>
      <c r="F6" s="5">
        <f>B6*10</f>
        <v>10</v>
      </c>
      <c r="G6" s="5">
        <f>B6*C6*D6</f>
        <v>32</v>
      </c>
      <c r="H6" s="5">
        <f>B6*C6</f>
        <v>16</v>
      </c>
      <c r="I6" s="5"/>
      <c r="J6" s="5">
        <f>B6*B14*3</f>
        <v>15</v>
      </c>
      <c r="K6" s="5">
        <f>B14*2</f>
        <v>10</v>
      </c>
      <c r="L6" s="5">
        <f>(B14/5*1*5)+(B14/5*4*2)</f>
        <v>13</v>
      </c>
      <c r="N6" s="4"/>
    </row>
    <row r="7" spans="1:14" x14ac:dyDescent="0.2">
      <c r="A7" s="2" t="s">
        <v>6</v>
      </c>
      <c r="B7" s="2">
        <v>1</v>
      </c>
      <c r="C7" s="2">
        <v>16</v>
      </c>
      <c r="D7" s="2">
        <v>2</v>
      </c>
      <c r="E7" s="5"/>
      <c r="F7" s="5">
        <f>B7*10</f>
        <v>10</v>
      </c>
      <c r="G7" s="5"/>
      <c r="H7" s="5"/>
      <c r="I7" s="5">
        <f>B7*C7*D7</f>
        <v>32</v>
      </c>
      <c r="J7" s="5">
        <f>(B7*C7)+(B7*B15*1)</f>
        <v>21</v>
      </c>
      <c r="K7" s="5">
        <f>B15*2</f>
        <v>10</v>
      </c>
      <c r="L7" s="5">
        <f>(B15/5*1*5)+(B15/5*4*2)</f>
        <v>13</v>
      </c>
      <c r="N7" s="4"/>
    </row>
    <row r="8" spans="1:14" x14ac:dyDescent="0.2">
      <c r="A8" s="2" t="s">
        <v>15</v>
      </c>
      <c r="B8" s="2">
        <v>1</v>
      </c>
      <c r="C8" s="2">
        <v>16</v>
      </c>
      <c r="D8" s="2">
        <v>2</v>
      </c>
      <c r="E8" s="5"/>
      <c r="F8" s="5">
        <f>B8*10</f>
        <v>10</v>
      </c>
      <c r="G8" s="5">
        <f>B16*2</f>
        <v>6</v>
      </c>
      <c r="H8" s="5"/>
      <c r="I8" s="5"/>
      <c r="J8" s="5">
        <f>B16*2</f>
        <v>6</v>
      </c>
      <c r="K8" s="5">
        <f>B8*C8*D8</f>
        <v>32</v>
      </c>
      <c r="L8" s="5">
        <f>B8*C8</f>
        <v>16</v>
      </c>
      <c r="N8" s="4"/>
    </row>
    <row r="10" spans="1:14" x14ac:dyDescent="0.2">
      <c r="A10" s="9" t="s">
        <v>10</v>
      </c>
      <c r="B10" s="9" t="s">
        <v>16</v>
      </c>
    </row>
    <row r="11" spans="1:14" x14ac:dyDescent="0.2">
      <c r="A11" s="9"/>
      <c r="B11" s="9"/>
    </row>
    <row r="12" spans="1:14" x14ac:dyDescent="0.2">
      <c r="A12" s="2" t="s">
        <v>5</v>
      </c>
      <c r="B12" s="2">
        <v>1</v>
      </c>
    </row>
    <row r="13" spans="1:14" x14ac:dyDescent="0.2">
      <c r="A13" s="2" t="s">
        <v>11</v>
      </c>
      <c r="B13" s="2">
        <v>1</v>
      </c>
    </row>
    <row r="14" spans="1:14" x14ac:dyDescent="0.2">
      <c r="A14" s="2" t="s">
        <v>0</v>
      </c>
      <c r="B14" s="2">
        <v>5</v>
      </c>
    </row>
    <row r="15" spans="1:14" x14ac:dyDescent="0.2">
      <c r="A15" s="2" t="s">
        <v>6</v>
      </c>
      <c r="B15" s="2">
        <v>5</v>
      </c>
    </row>
    <row r="16" spans="1:14" x14ac:dyDescent="0.2">
      <c r="A16" s="2" t="s">
        <v>15</v>
      </c>
      <c r="B16" s="2">
        <v>3</v>
      </c>
    </row>
  </sheetData>
  <mergeCells count="11">
    <mergeCell ref="A10:A11"/>
    <mergeCell ref="B10:B11"/>
    <mergeCell ref="D1:D3"/>
    <mergeCell ref="K2:L2"/>
    <mergeCell ref="B1:B3"/>
    <mergeCell ref="C1:C3"/>
    <mergeCell ref="A1:A3"/>
    <mergeCell ref="E1:L1"/>
    <mergeCell ref="E2:F2"/>
    <mergeCell ref="G2:H2"/>
    <mergeCell ref="I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Pressupostos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Joana Sérgio</dc:creator>
  <cp:lastModifiedBy>Joana Sérgio</cp:lastModifiedBy>
  <dcterms:created xsi:type="dcterms:W3CDTF">2026-01-28T08:58:29Z</dcterms:created>
  <dcterms:modified xsi:type="dcterms:W3CDTF">2026-05-06T08:39:18Z</dcterms:modified>
</cp:coreProperties>
</file>